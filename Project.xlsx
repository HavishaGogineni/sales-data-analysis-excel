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6124bbd55715b9/Documents/"/>
    </mc:Choice>
  </mc:AlternateContent>
  <xr:revisionPtr revIDLastSave="336" documentId="8_{722F0121-27C5-41F3-8FF6-B9D99FD7DD3B}" xr6:coauthVersionLast="47" xr6:coauthVersionMax="47" xr10:uidLastSave="{05F0C4D1-9CA1-417F-A02B-CB1CA68B75CE}"/>
  <bookViews>
    <workbookView xWindow="-108" yWindow="-108" windowWidth="23256" windowHeight="12456" activeTab="5" xr2:uid="{D750A1EF-938F-40E1-AD29-FD24EF69902B}"/>
  </bookViews>
  <sheets>
    <sheet name="Sheet2" sheetId="2" r:id="rId1"/>
    <sheet name="Sheet4" sheetId="4" r:id="rId2"/>
    <sheet name="Sheet3" sheetId="3" r:id="rId3"/>
    <sheet name="Sheet5" sheetId="5" r:id="rId4"/>
    <sheet name="Sheet6" sheetId="7" r:id="rId5"/>
    <sheet name="Sheet1" sheetId="1" r:id="rId6"/>
    <sheet name="Dashboard" sheetId="6" r:id="rId7"/>
  </sheets>
  <calcPr calcId="191029"/>
  <pivotCaches>
    <pivotCache cacheId="0" r:id="rId8"/>
    <pivotCache cacheId="1" r:id="rId9"/>
    <pivotCache cacheId="2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" i="1" l="1"/>
  <c r="U4" i="1"/>
  <c r="U3" i="1"/>
  <c r="U2" i="1"/>
  <c r="S6" i="1"/>
  <c r="S5" i="1"/>
  <c r="S4" i="1"/>
  <c r="S3" i="1"/>
  <c r="S2" i="1"/>
  <c r="Q6" i="1"/>
  <c r="Q5" i="1"/>
  <c r="Q4" i="1"/>
  <c r="Q3" i="1"/>
  <c r="Q2" i="1"/>
  <c r="O5" i="1"/>
  <c r="O4" i="1"/>
  <c r="O3" i="1"/>
  <c r="O2" i="1"/>
  <c r="M3" i="1"/>
  <c r="M2" i="1"/>
  <c r="K23" i="1"/>
  <c r="J20" i="1"/>
  <c r="K20" i="1"/>
  <c r="K22" i="1"/>
  <c r="K21" i="1"/>
  <c r="J23" i="1"/>
  <c r="J22" i="1"/>
  <c r="J21" i="1"/>
  <c r="G20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" i="1"/>
</calcChain>
</file>

<file path=xl/sharedStrings.xml><?xml version="1.0" encoding="utf-8"?>
<sst xmlns="http://schemas.openxmlformats.org/spreadsheetml/2006/main" count="144" uniqueCount="45">
  <si>
    <t>Order_ID</t>
  </si>
  <si>
    <t>Order_Date</t>
  </si>
  <si>
    <t>Product</t>
  </si>
  <si>
    <t>Category</t>
  </si>
  <si>
    <t>Region</t>
  </si>
  <si>
    <t>Salesperson</t>
  </si>
  <si>
    <t>Quantity</t>
  </si>
  <si>
    <t>Unit_Price</t>
  </si>
  <si>
    <t>Cost</t>
  </si>
  <si>
    <t>Laptop</t>
  </si>
  <si>
    <t>Electronics</t>
  </si>
  <si>
    <t>South</t>
  </si>
  <si>
    <t>Ravi</t>
  </si>
  <si>
    <t>Mouse</t>
  </si>
  <si>
    <t>Accessories</t>
  </si>
  <si>
    <t>Priya</t>
  </si>
  <si>
    <t>Keyboard</t>
  </si>
  <si>
    <t>North</t>
  </si>
  <si>
    <t>Arjun</t>
  </si>
  <si>
    <t>Monitor</t>
  </si>
  <si>
    <t>East</t>
  </si>
  <si>
    <t>Sneha</t>
  </si>
  <si>
    <t>West</t>
  </si>
  <si>
    <t>Manoj</t>
  </si>
  <si>
    <t>Printer</t>
  </si>
  <si>
    <t>Sales</t>
  </si>
  <si>
    <t>Profit</t>
  </si>
  <si>
    <t>Catogery</t>
  </si>
  <si>
    <t xml:space="preserve">Total_sales </t>
  </si>
  <si>
    <t xml:space="preserve">Accessories  </t>
  </si>
  <si>
    <t>Total sales</t>
  </si>
  <si>
    <t>Row Labels</t>
  </si>
  <si>
    <t>Grand Total</t>
  </si>
  <si>
    <t>Sum of Total sales</t>
  </si>
  <si>
    <t>Sales Person</t>
  </si>
  <si>
    <t>Sum_sales</t>
  </si>
  <si>
    <t>Sum of Sum_sales</t>
  </si>
  <si>
    <t>Sum-sales</t>
  </si>
  <si>
    <t>Sum of Sum-sales</t>
  </si>
  <si>
    <t>Kpi</t>
  </si>
  <si>
    <t>Value</t>
  </si>
  <si>
    <t>Total Orders</t>
  </si>
  <si>
    <t>Total Quantity</t>
  </si>
  <si>
    <t>Average order value</t>
  </si>
  <si>
    <t xml:space="preserve">                 SALES ANALYTICS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</si>
</sst>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14" fontId="1" fillId="0" borderId="0" xfId="0" applyNumberFormat="1" applyFont="1" applyAlignment="1">
      <alignment horizontal="center" vertical="center" wrapText="1"/>
    </xf>
    <xf numFmtId="14" fontId="0" fillId="0" borderId="0" xfId="0" applyNumberFormat="1"/>
    <xf numFmtId="3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Regionwise-Sales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Sheet2!$B$2:$B$6</c:f>
              <c:numCache>
                <c:formatCode>General</c:formatCode>
                <c:ptCount val="4"/>
                <c:pt idx="0">
                  <c:v>112600</c:v>
                </c:pt>
                <c:pt idx="1">
                  <c:v>1053800</c:v>
                </c:pt>
                <c:pt idx="2">
                  <c:v>555600</c:v>
                </c:pt>
                <c:pt idx="3">
                  <c:v>613000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A6-45C1-AECC-74FBA8958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1340143"/>
        <c:axId val="1421475599"/>
      </c:barChart>
      <c:catAx>
        <c:axId val="141134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475599"/>
        <c:crosses val="autoZero"/>
        <c:auto val="1"/>
        <c:lblAlgn val="ctr"/>
        <c:lblOffset val="100"/>
        <c:noMultiLvlLbl val="0"/>
      </c:catAx>
      <c:valAx>
        <c:axId val="142147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340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[Project.xlsx]Sheet3!PivotTable1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PersonsWise-Sales</a:t>
            </a:r>
            <a:endParaRPr lang="en-US"/>
          </a:p>
        </c:rich>
      </c:tx>
      <c:layout>
        <c:manualLayout>
          <c:xMode val="edge"/>
          <c:yMode val="edge"/>
          <c:x val="0.44250000000000006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Sheet3!$A$2:$A$7</c:f>
              <c:strCache>
                <c:ptCount val="5"/>
                <c:pt idx="0">
                  <c:v>Arjun</c:v>
                </c:pt>
                <c:pt idx="1">
                  <c:v>Manoj</c:v>
                </c:pt>
                <c:pt idx="2">
                  <c:v>Priya</c:v>
                </c:pt>
                <c:pt idx="3">
                  <c:v>Ravi</c:v>
                </c:pt>
                <c:pt idx="4">
                  <c:v>Sneha</c:v>
                </c:pt>
              </c:strCache>
            </c:strRef>
          </c:cat>
          <c:val>
            <c:numRef>
              <c:f>Sheet3!$B$2:$B$7</c:f>
              <c:numCache>
                <c:formatCode>General</c:formatCode>
                <c:ptCount val="5"/>
                <c:pt idx="0">
                  <c:v>99800</c:v>
                </c:pt>
                <c:pt idx="1">
                  <c:v>369000</c:v>
                </c:pt>
                <c:pt idx="2">
                  <c:v>613800</c:v>
                </c:pt>
                <c:pt idx="3">
                  <c:v>479800</c:v>
                </c:pt>
                <c:pt idx="4">
                  <c:v>772600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C9-4F29-98AF-AEF14F213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8592752"/>
        <c:axId val="1439071664"/>
      </c:barChart>
      <c:catAx>
        <c:axId val="143859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071664"/>
        <c:crosses val="autoZero"/>
        <c:auto val="1"/>
        <c:lblAlgn val="ctr"/>
        <c:lblOffset val="100"/>
        <c:noMultiLvlLbl val="0"/>
      </c:catAx>
      <c:valAx>
        <c:axId val="143907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592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[Project.xlsx]Sheet5!PivotTable1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Productwise-Sales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Sheet5!$A$2:$A$7</c:f>
              <c:strCache>
                <c:ptCount val="5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  <c:pt idx="4">
                  <c:v>Printer</c:v>
                </c:pt>
              </c:strCache>
            </c:strRef>
          </c:cat>
          <c:val>
            <c:numRef>
              <c:f>Sheet5!$B$2:$B$7</c:f>
              <c:numCache>
                <c:formatCode>General</c:formatCode>
                <c:ptCount val="5"/>
                <c:pt idx="0">
                  <c:v>99800</c:v>
                </c:pt>
                <c:pt idx="1">
                  <c:v>369800</c:v>
                </c:pt>
                <c:pt idx="2">
                  <c:v>772600</c:v>
                </c:pt>
                <c:pt idx="3">
                  <c:v>479800</c:v>
                </c:pt>
                <c:pt idx="4">
                  <c:v>613000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59-464C-96D5-225B5A675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3885711"/>
        <c:axId val="128702191"/>
      </c:barChart>
      <c:catAx>
        <c:axId val="453885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02191"/>
        <c:crosses val="autoZero"/>
        <c:auto val="1"/>
        <c:lblAlgn val="ctr"/>
        <c:lblOffset val="100"/>
        <c:noMultiLvlLbl val="0"/>
      </c:catAx>
      <c:valAx>
        <c:axId val="12870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885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[Project.xlsx]Sheet6!PivotTable1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</a:t>
            </a:r>
            <a:r>
              <a:rPr lang="en-IN" baseline="0"/>
              <a:t>wise-sales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Sheet6!$A$2:$A$6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Sheet6!$B$2:$B$6</c:f>
              <c:numCache>
                <c:formatCode>General</c:formatCode>
                <c:ptCount val="4"/>
                <c:pt idx="0">
                  <c:v>112600</c:v>
                </c:pt>
                <c:pt idx="1">
                  <c:v>1053800</c:v>
                </c:pt>
                <c:pt idx="2">
                  <c:v>555600</c:v>
                </c:pt>
                <c:pt idx="3">
                  <c:v>613000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8C-4170-8AA7-52A26CAC7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7015824"/>
        <c:axId val="2007098672"/>
      </c:barChart>
      <c:catAx>
        <c:axId val="207701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098672"/>
        <c:crosses val="autoZero"/>
        <c:auto val="1"/>
        <c:lblAlgn val="ctr"/>
        <c:lblOffset val="100"/>
        <c:noMultiLvlLbl val="0"/>
      </c:catAx>
      <c:valAx>
        <c:axId val="200709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01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[Project.xlsx]Sheet2!PivotTable1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Regionwise-Sales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Sheet2!$B$2:$B$6</c:f>
              <c:numCache>
                <c:formatCode>General</c:formatCode>
                <c:ptCount val="4"/>
                <c:pt idx="0">
                  <c:v>112600</c:v>
                </c:pt>
                <c:pt idx="1">
                  <c:v>1053800</c:v>
                </c:pt>
                <c:pt idx="2">
                  <c:v>555600</c:v>
                </c:pt>
                <c:pt idx="3">
                  <c:v>613000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B-4488-B51E-6C6AD4A30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1340143"/>
        <c:axId val="1421475599"/>
      </c:barChart>
      <c:catAx>
        <c:axId val="141134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475599"/>
        <c:crosses val="autoZero"/>
        <c:auto val="1"/>
        <c:lblAlgn val="ctr"/>
        <c:lblOffset val="100"/>
        <c:noMultiLvlLbl val="0"/>
      </c:catAx>
      <c:valAx>
        <c:axId val="142147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340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[Project.xlsx]Sheet3!PivotTable1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PersonsWise-Sales</a:t>
            </a:r>
            <a:endParaRPr lang="en-US"/>
          </a:p>
        </c:rich>
      </c:tx>
      <c:layout>
        <c:manualLayout>
          <c:xMode val="edge"/>
          <c:yMode val="edge"/>
          <c:x val="0.44250000000000006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Sheet3!$A$2:$A$7</c:f>
              <c:strCache>
                <c:ptCount val="5"/>
                <c:pt idx="0">
                  <c:v>Arjun</c:v>
                </c:pt>
                <c:pt idx="1">
                  <c:v>Manoj</c:v>
                </c:pt>
                <c:pt idx="2">
                  <c:v>Priya</c:v>
                </c:pt>
                <c:pt idx="3">
                  <c:v>Ravi</c:v>
                </c:pt>
                <c:pt idx="4">
                  <c:v>Sneha</c:v>
                </c:pt>
              </c:strCache>
            </c:strRef>
          </c:cat>
          <c:val>
            <c:numRef>
              <c:f>Sheet3!$B$2:$B$7</c:f>
              <c:numCache>
                <c:formatCode>General</c:formatCode>
                <c:ptCount val="5"/>
                <c:pt idx="0">
                  <c:v>99800</c:v>
                </c:pt>
                <c:pt idx="1">
                  <c:v>369000</c:v>
                </c:pt>
                <c:pt idx="2">
                  <c:v>613800</c:v>
                </c:pt>
                <c:pt idx="3">
                  <c:v>479800</c:v>
                </c:pt>
                <c:pt idx="4">
                  <c:v>772600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BE-40B9-A721-704977B9D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8592752"/>
        <c:axId val="1439071664"/>
      </c:barChart>
      <c:catAx>
        <c:axId val="143859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071664"/>
        <c:crosses val="autoZero"/>
        <c:auto val="1"/>
        <c:lblAlgn val="ctr"/>
        <c:lblOffset val="100"/>
        <c:noMultiLvlLbl val="0"/>
      </c:catAx>
      <c:valAx>
        <c:axId val="143907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592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[Project.xlsx]Sheet5!PivotTable1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Productwise-Sales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Sheet5!$A$2:$A$7</c:f>
              <c:strCache>
                <c:ptCount val="5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  <c:pt idx="4">
                  <c:v>Printer</c:v>
                </c:pt>
              </c:strCache>
            </c:strRef>
          </c:cat>
          <c:val>
            <c:numRef>
              <c:f>Sheet5!$B$2:$B$7</c:f>
              <c:numCache>
                <c:formatCode>General</c:formatCode>
                <c:ptCount val="5"/>
                <c:pt idx="0">
                  <c:v>99800</c:v>
                </c:pt>
                <c:pt idx="1">
                  <c:v>369800</c:v>
                </c:pt>
                <c:pt idx="2">
                  <c:v>772600</c:v>
                </c:pt>
                <c:pt idx="3">
                  <c:v>479800</c:v>
                </c:pt>
                <c:pt idx="4">
                  <c:v>613000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C5-40DE-9F69-510E9DBD8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3885711"/>
        <c:axId val="128702191"/>
      </c:barChart>
      <c:catAx>
        <c:axId val="453885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02191"/>
        <c:crosses val="autoZero"/>
        <c:auto val="1"/>
        <c:lblAlgn val="ctr"/>
        <c:lblOffset val="100"/>
        <c:noMultiLvlLbl val="0"/>
      </c:catAx>
      <c:valAx>
        <c:axId val="12870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885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[Project.xlsx]Sheet6!PivotTable1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</a:t>
            </a:r>
            <a:r>
              <a:rPr lang="en-IN" baseline="0"/>
              <a:t>wise-sales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Sheet6!$A$2:$A$6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Sheet6!$B$2:$B$6</c:f>
              <c:numCache>
                <c:formatCode>General</c:formatCode>
                <c:ptCount val="4"/>
                <c:pt idx="0">
                  <c:v>112600</c:v>
                </c:pt>
                <c:pt idx="1">
                  <c:v>1053800</c:v>
                </c:pt>
                <c:pt idx="2">
                  <c:v>555600</c:v>
                </c:pt>
                <c:pt idx="3">
                  <c:v>613000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C5-432B-A2C4-B120CD545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7015824"/>
        <c:axId val="2007098672"/>
      </c:barChart>
      <c:catAx>
        <c:axId val="207701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098672"/>
        <c:crosses val="autoZero"/>
        <c:auto val="1"/>
        <c:lblAlgn val="ctr"/>
        <c:lblOffset val="100"/>
        <c:noMultiLvlLbl val="0"/>
      </c:catAx>
      <c:valAx>
        <c:axId val="200709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01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0</xdr:row>
      <xdr:rowOff>76200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04A451-6D1C-9BBE-6ABC-8F5AE92D01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981662-577D-0DA2-15E4-6250F5827C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AB9F8A-3259-D763-093F-8CD5DEFD85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E5C98D-D4CB-4C6B-467D-3BB592757B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3</xdr:row>
      <xdr:rowOff>7620</xdr:rowOff>
    </xdr:from>
    <xdr:to>
      <xdr:col>5</xdr:col>
      <xdr:colOff>594360</xdr:colOff>
      <xdr:row>8</xdr:row>
      <xdr:rowOff>7620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FF79E25-0FDB-6952-57CC-07F6AD23104D}"/>
            </a:ext>
          </a:extLst>
        </xdr:cNvPr>
        <xdr:cNvSpPr/>
      </xdr:nvSpPr>
      <xdr:spPr>
        <a:xfrm>
          <a:off x="2270760" y="556260"/>
          <a:ext cx="2453640" cy="914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 b="1"/>
            <a:t>  Total Sales</a:t>
          </a:r>
        </a:p>
        <a:p>
          <a:pPr algn="ctr"/>
          <a:r>
            <a:rPr lang="en-IN"/>
            <a:t>₹23,35,000</a:t>
          </a:r>
          <a:endParaRPr lang="en-IN" sz="1100" b="1"/>
        </a:p>
      </xdr:txBody>
    </xdr:sp>
    <xdr:clientData/>
  </xdr:twoCellAnchor>
  <xdr:twoCellAnchor>
    <xdr:from>
      <xdr:col>6</xdr:col>
      <xdr:colOff>312420</xdr:colOff>
      <xdr:row>3</xdr:row>
      <xdr:rowOff>7620</xdr:rowOff>
    </xdr:from>
    <xdr:to>
      <xdr:col>6</xdr:col>
      <xdr:colOff>2819400</xdr:colOff>
      <xdr:row>8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DB9816A-0C7C-0002-F5FC-C3243D2642F9}"/>
            </a:ext>
          </a:extLst>
        </xdr:cNvPr>
        <xdr:cNvSpPr/>
      </xdr:nvSpPr>
      <xdr:spPr>
        <a:xfrm>
          <a:off x="5052060" y="556260"/>
          <a:ext cx="2506980" cy="90678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                       </a:t>
          </a:r>
          <a:r>
            <a:rPr lang="en-IN" sz="1100" b="1"/>
            <a:t>Total</a:t>
          </a:r>
          <a:r>
            <a:rPr lang="en-IN" sz="1100" b="1" baseline="0"/>
            <a:t> Orders</a:t>
          </a:r>
        </a:p>
        <a:p>
          <a:pPr algn="ctr"/>
          <a:r>
            <a:rPr lang="en-IN" sz="1100" b="0" baseline="0"/>
            <a:t>18</a:t>
          </a:r>
          <a:endParaRPr lang="en-IN" sz="1100" b="0"/>
        </a:p>
      </xdr:txBody>
    </xdr:sp>
    <xdr:clientData/>
  </xdr:twoCellAnchor>
  <xdr:twoCellAnchor>
    <xdr:from>
      <xdr:col>7</xdr:col>
      <xdr:colOff>106680</xdr:colOff>
      <xdr:row>3</xdr:row>
      <xdr:rowOff>22860</xdr:rowOff>
    </xdr:from>
    <xdr:to>
      <xdr:col>10</xdr:col>
      <xdr:colOff>510540</xdr:colOff>
      <xdr:row>8</xdr:row>
      <xdr:rowOff>15240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89C935B-ADC0-8BF8-ADCB-00F096EFBAFE}"/>
            </a:ext>
          </a:extLst>
        </xdr:cNvPr>
        <xdr:cNvSpPr/>
      </xdr:nvSpPr>
      <xdr:spPr>
        <a:xfrm>
          <a:off x="7978140" y="571500"/>
          <a:ext cx="2232660" cy="90678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 b="1"/>
            <a:t>Total</a:t>
          </a:r>
          <a:r>
            <a:rPr lang="en-IN" sz="1100" b="1" baseline="0"/>
            <a:t> Quantity</a:t>
          </a:r>
        </a:p>
        <a:p>
          <a:pPr algn="ctr"/>
          <a:r>
            <a:rPr lang="en-IN" sz="1100" b="0" baseline="0"/>
            <a:t>72</a:t>
          </a:r>
          <a:endParaRPr lang="en-IN" sz="1100" b="0"/>
        </a:p>
      </xdr:txBody>
    </xdr:sp>
    <xdr:clientData/>
  </xdr:twoCellAnchor>
  <xdr:twoCellAnchor>
    <xdr:from>
      <xdr:col>11</xdr:col>
      <xdr:colOff>388620</xdr:colOff>
      <xdr:row>2</xdr:row>
      <xdr:rowOff>152400</xdr:rowOff>
    </xdr:from>
    <xdr:to>
      <xdr:col>15</xdr:col>
      <xdr:colOff>449580</xdr:colOff>
      <xdr:row>7</xdr:row>
      <xdr:rowOff>160020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BAA28D8-88B4-86EA-8435-F32641E463E6}"/>
            </a:ext>
          </a:extLst>
        </xdr:cNvPr>
        <xdr:cNvSpPr/>
      </xdr:nvSpPr>
      <xdr:spPr>
        <a:xfrm>
          <a:off x="10698480" y="518160"/>
          <a:ext cx="2499360" cy="92202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 b="1"/>
            <a:t>AOV</a:t>
          </a:r>
        </a:p>
        <a:p>
          <a:pPr algn="ctr"/>
          <a:r>
            <a:rPr lang="en-IN"/>
            <a:t>₹1,29,722</a:t>
          </a:r>
          <a:endParaRPr lang="en-IN" sz="1100" b="0"/>
        </a:p>
      </xdr:txBody>
    </xdr:sp>
    <xdr:clientData/>
  </xdr:twoCellAnchor>
  <xdr:twoCellAnchor>
    <xdr:from>
      <xdr:col>8</xdr:col>
      <xdr:colOff>259080</xdr:colOff>
      <xdr:row>9</xdr:row>
      <xdr:rowOff>38100</xdr:rowOff>
    </xdr:from>
    <xdr:to>
      <xdr:col>15</xdr:col>
      <xdr:colOff>312420</xdr:colOff>
      <xdr:row>24</xdr:row>
      <xdr:rowOff>144780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DCEED72-1B0C-4857-BCAD-7B26BC8155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396240</xdr:colOff>
      <xdr:row>25</xdr:row>
      <xdr:rowOff>91440</xdr:rowOff>
    </xdr:from>
    <xdr:to>
      <xdr:col>6</xdr:col>
      <xdr:colOff>2529840</xdr:colOff>
      <xdr:row>41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18704D8-9609-4CAF-A1C1-7303A6C1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137160</xdr:colOff>
      <xdr:row>26</xdr:row>
      <xdr:rowOff>152400</xdr:rowOff>
    </xdr:from>
    <xdr:to>
      <xdr:col>15</xdr:col>
      <xdr:colOff>441960</xdr:colOff>
      <xdr:row>41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2E95C18-1CE4-471F-927A-FC233454E3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114300</xdr:colOff>
      <xdr:row>8</xdr:row>
      <xdr:rowOff>83820</xdr:rowOff>
    </xdr:from>
    <xdr:to>
      <xdr:col>6</xdr:col>
      <xdr:colOff>2857500</xdr:colOff>
      <xdr:row>23</xdr:row>
      <xdr:rowOff>83820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779D1E7-CC31-410A-883E-AF4607727A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gin" refreshedDate="46287.718815856482" createdVersion="8" refreshedVersion="8" minRefreshableVersion="3" recordCount="4" xr:uid="{03505F41-083F-421B-ADE7-746C3C620220}">
  <cacheSource type="worksheet">
    <worksheetSource ref="N1:O5" sheet="Sheet1"/>
  </cacheSource>
  <cacheFields count="2">
    <cacheField name="Region" numFmtId="0">
      <sharedItems count="4">
        <s v="North"/>
        <s v="East"/>
        <s v="West"/>
        <s v="South"/>
      </sharedItems>
    </cacheField>
    <cacheField name="Total sales" numFmtId="0">
      <sharedItems containsSemiMixedTypes="0" containsString="0" containsNumber="1" containsInteger="1" minValue="112600" maxValue="1053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gin" refreshedDate="46287.976638773151" createdVersion="8" refreshedVersion="8" minRefreshableVersion="3" recordCount="5" xr:uid="{21FA8FC7-EB23-4BFD-8F68-334E41B8DA7B}">
  <cacheSource type="worksheet">
    <worksheetSource ref="P1:Q6" sheet="Sheet1"/>
  </cacheSource>
  <cacheFields count="2">
    <cacheField name="Sales Person" numFmtId="0">
      <sharedItems count="5">
        <s v="Ravi"/>
        <s v="Priya"/>
        <s v="Sneha"/>
        <s v="Manoj"/>
        <s v="Arjun"/>
      </sharedItems>
    </cacheField>
    <cacheField name="Sum_sales" numFmtId="0">
      <sharedItems containsSemiMixedTypes="0" containsString="0" containsNumber="1" containsInteger="1" minValue="99800" maxValue="7726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gin" refreshedDate="46288.506044212962" createdVersion="8" refreshedVersion="8" minRefreshableVersion="3" recordCount="5" xr:uid="{368D55A1-9DB4-4711-901C-0108D5ADEB4D}">
  <cacheSource type="worksheet">
    <worksheetSource ref="R1:S6" sheet="Sheet1"/>
  </cacheSource>
  <cacheFields count="2">
    <cacheField name="Product" numFmtId="0">
      <sharedItems count="5">
        <s v="Laptop"/>
        <s v="Monitor"/>
        <s v="Mouse"/>
        <s v="Keyboard"/>
        <s v="Printer"/>
      </sharedItems>
    </cacheField>
    <cacheField name="Sum-sales" numFmtId="0">
      <sharedItems containsSemiMixedTypes="0" containsString="0" containsNumber="1" containsInteger="1" minValue="99800" maxValue="7726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053800"/>
  </r>
  <r>
    <x v="1"/>
    <n v="112600"/>
  </r>
  <r>
    <x v="2"/>
    <n v="613000"/>
  </r>
  <r>
    <x v="3"/>
    <n v="5556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479800"/>
  </r>
  <r>
    <x v="1"/>
    <n v="613800"/>
  </r>
  <r>
    <x v="2"/>
    <n v="772600"/>
  </r>
  <r>
    <x v="3"/>
    <n v="369000"/>
  </r>
  <r>
    <x v="4"/>
    <n v="998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369800"/>
  </r>
  <r>
    <x v="1"/>
    <n v="772600"/>
  </r>
  <r>
    <x v="2"/>
    <n v="479800"/>
  </r>
  <r>
    <x v="3"/>
    <n v="99800"/>
  </r>
  <r>
    <x v="4"/>
    <n v="613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A3B4BF-5594-4F3C-B7B7-5E04C889854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6" firstHeaderRow="1" firstDataRow="1" firstDataCol="1"/>
  <pivotFields count="2">
    <pivotField axis="axisRow" showAll="0">
      <items count="5">
        <item x="1"/>
        <item x="0"/>
        <item x="3"/>
        <item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1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BF67D5-DFBF-46BE-84C8-0A4DB723826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7" firstHeaderRow="1" firstDataRow="1" firstDataCol="1"/>
  <pivotFields count="2">
    <pivotField axis="axisRow" showAll="0">
      <items count="6">
        <item x="4"/>
        <item x="3"/>
        <item x="1"/>
        <item x="0"/>
        <item x="2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um_sales" fld="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C008A1-294A-4B48-AC9E-803FC8605A8B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B7" firstHeaderRow="1" firstDataRow="1" firstDataCol="1"/>
  <pivotFields count="2">
    <pivotField axis="axisRow" showAll="0">
      <items count="6">
        <item x="3"/>
        <item x="0"/>
        <item x="1"/>
        <item x="2"/>
        <item x="4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um-sales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C039C9-0AAB-47CE-BC2E-EE597460AA0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6" firstHeaderRow="1" firstDataRow="1" firstDataCol="1"/>
  <pivotFields count="2">
    <pivotField axis="axisRow" showAll="0">
      <items count="5">
        <item x="1"/>
        <item x="0"/>
        <item x="3"/>
        <item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43F35-D874-4F15-866F-A9193129A6C3}">
  <dimension ref="A1:B6"/>
  <sheetViews>
    <sheetView workbookViewId="0">
      <selection activeCell="P4" sqref="P4"/>
    </sheetView>
  </sheetViews>
  <sheetFormatPr defaultRowHeight="14.4" x14ac:dyDescent="0.3"/>
  <cols>
    <col min="1" max="1" width="12.5546875" bestFit="1" customWidth="1"/>
    <col min="2" max="2" width="16.21875" bestFit="1" customWidth="1"/>
  </cols>
  <sheetData>
    <row r="1" spans="1:2" x14ac:dyDescent="0.3">
      <c r="A1" s="9" t="s">
        <v>31</v>
      </c>
      <c r="B1" t="s">
        <v>33</v>
      </c>
    </row>
    <row r="2" spans="1:2" x14ac:dyDescent="0.3">
      <c r="A2" s="10" t="s">
        <v>20</v>
      </c>
      <c r="B2">
        <v>112600</v>
      </c>
    </row>
    <row r="3" spans="1:2" x14ac:dyDescent="0.3">
      <c r="A3" s="10" t="s">
        <v>17</v>
      </c>
      <c r="B3">
        <v>1053800</v>
      </c>
    </row>
    <row r="4" spans="1:2" x14ac:dyDescent="0.3">
      <c r="A4" s="10" t="s">
        <v>11</v>
      </c>
      <c r="B4">
        <v>555600</v>
      </c>
    </row>
    <row r="5" spans="1:2" x14ac:dyDescent="0.3">
      <c r="A5" s="10" t="s">
        <v>22</v>
      </c>
      <c r="B5">
        <v>613000</v>
      </c>
    </row>
    <row r="6" spans="1:2" x14ac:dyDescent="0.3">
      <c r="A6" s="10" t="s">
        <v>32</v>
      </c>
      <c r="B6">
        <v>2335000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47147-184B-47DE-8BBD-19BB21434CD3}">
  <dimension ref="A1"/>
  <sheetViews>
    <sheetView workbookViewId="0"/>
  </sheetViews>
  <sheetFormatPr defaultRowHeight="14.4" x14ac:dyDescent="0.3"/>
  <cols>
    <col min="1" max="1" width="14.109375" customWidth="1"/>
    <col min="2" max="2" width="18" customWidth="1"/>
    <col min="3" max="3" width="20.21875" customWidth="1"/>
    <col min="4" max="4" width="13.8867187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767CF-D3C0-4643-B245-A234B75247E7}">
  <dimension ref="A1:B7"/>
  <sheetViews>
    <sheetView workbookViewId="0">
      <selection activeCell="O2" sqref="O2"/>
    </sheetView>
  </sheetViews>
  <sheetFormatPr defaultRowHeight="14.4" x14ac:dyDescent="0.3"/>
  <cols>
    <col min="1" max="1" width="12.5546875" bestFit="1" customWidth="1"/>
    <col min="2" max="2" width="16.33203125" bestFit="1" customWidth="1"/>
  </cols>
  <sheetData>
    <row r="1" spans="1:2" x14ac:dyDescent="0.3">
      <c r="A1" s="9" t="s">
        <v>31</v>
      </c>
      <c r="B1" t="s">
        <v>36</v>
      </c>
    </row>
    <row r="2" spans="1:2" x14ac:dyDescent="0.3">
      <c r="A2" s="10" t="s">
        <v>18</v>
      </c>
      <c r="B2">
        <v>99800</v>
      </c>
    </row>
    <row r="3" spans="1:2" x14ac:dyDescent="0.3">
      <c r="A3" s="10" t="s">
        <v>23</v>
      </c>
      <c r="B3">
        <v>369000</v>
      </c>
    </row>
    <row r="4" spans="1:2" x14ac:dyDescent="0.3">
      <c r="A4" s="10" t="s">
        <v>15</v>
      </c>
      <c r="B4">
        <v>613800</v>
      </c>
    </row>
    <row r="5" spans="1:2" x14ac:dyDescent="0.3">
      <c r="A5" s="10" t="s">
        <v>12</v>
      </c>
      <c r="B5">
        <v>479800</v>
      </c>
    </row>
    <row r="6" spans="1:2" x14ac:dyDescent="0.3">
      <c r="A6" s="10" t="s">
        <v>21</v>
      </c>
      <c r="B6">
        <v>772600</v>
      </c>
    </row>
    <row r="7" spans="1:2" x14ac:dyDescent="0.3">
      <c r="A7" s="10" t="s">
        <v>32</v>
      </c>
      <c r="B7">
        <v>2335000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FA0C2-68D2-4BB3-8EDB-46A84F0ABA66}">
  <dimension ref="A1:B7"/>
  <sheetViews>
    <sheetView workbookViewId="0">
      <selection activeCell="N8" sqref="N8"/>
    </sheetView>
  </sheetViews>
  <sheetFormatPr defaultRowHeight="14.4" x14ac:dyDescent="0.3"/>
  <cols>
    <col min="1" max="1" width="12.5546875" bestFit="1" customWidth="1"/>
    <col min="2" max="2" width="16" bestFit="1" customWidth="1"/>
  </cols>
  <sheetData>
    <row r="1" spans="1:2" x14ac:dyDescent="0.3">
      <c r="A1" s="9" t="s">
        <v>31</v>
      </c>
      <c r="B1" t="s">
        <v>38</v>
      </c>
    </row>
    <row r="2" spans="1:2" x14ac:dyDescent="0.3">
      <c r="A2" s="10" t="s">
        <v>16</v>
      </c>
      <c r="B2">
        <v>99800</v>
      </c>
    </row>
    <row r="3" spans="1:2" x14ac:dyDescent="0.3">
      <c r="A3" s="10" t="s">
        <v>9</v>
      </c>
      <c r="B3">
        <v>369800</v>
      </c>
    </row>
    <row r="4" spans="1:2" x14ac:dyDescent="0.3">
      <c r="A4" s="10" t="s">
        <v>19</v>
      </c>
      <c r="B4">
        <v>772600</v>
      </c>
    </row>
    <row r="5" spans="1:2" x14ac:dyDescent="0.3">
      <c r="A5" s="10" t="s">
        <v>13</v>
      </c>
      <c r="B5">
        <v>479800</v>
      </c>
    </row>
    <row r="6" spans="1:2" x14ac:dyDescent="0.3">
      <c r="A6" s="10" t="s">
        <v>24</v>
      </c>
      <c r="B6">
        <v>613000</v>
      </c>
    </row>
    <row r="7" spans="1:2" x14ac:dyDescent="0.3">
      <c r="A7" s="10" t="s">
        <v>32</v>
      </c>
      <c r="B7">
        <v>2335000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E9A4B-A28F-4DD0-B782-F0D91B591F4C}">
  <dimension ref="A1:B6"/>
  <sheetViews>
    <sheetView workbookViewId="0">
      <selection activeCell="N10" sqref="N10"/>
    </sheetView>
  </sheetViews>
  <sheetFormatPr defaultRowHeight="14.4" x14ac:dyDescent="0.3"/>
  <cols>
    <col min="1" max="1" width="12.5546875" bestFit="1" customWidth="1"/>
    <col min="2" max="2" width="16.21875" bestFit="1" customWidth="1"/>
  </cols>
  <sheetData>
    <row r="1" spans="1:2" x14ac:dyDescent="0.3">
      <c r="A1" s="9" t="s">
        <v>31</v>
      </c>
      <c r="B1" t="s">
        <v>33</v>
      </c>
    </row>
    <row r="2" spans="1:2" x14ac:dyDescent="0.3">
      <c r="A2" s="10" t="s">
        <v>20</v>
      </c>
      <c r="B2">
        <v>112600</v>
      </c>
    </row>
    <row r="3" spans="1:2" x14ac:dyDescent="0.3">
      <c r="A3" s="10" t="s">
        <v>17</v>
      </c>
      <c r="B3">
        <v>1053800</v>
      </c>
    </row>
    <row r="4" spans="1:2" x14ac:dyDescent="0.3">
      <c r="A4" s="10" t="s">
        <v>11</v>
      </c>
      <c r="B4">
        <v>555600</v>
      </c>
    </row>
    <row r="5" spans="1:2" x14ac:dyDescent="0.3">
      <c r="A5" s="10" t="s">
        <v>22</v>
      </c>
      <c r="B5">
        <v>613000</v>
      </c>
    </row>
    <row r="6" spans="1:2" x14ac:dyDescent="0.3">
      <c r="A6" s="10" t="s">
        <v>32</v>
      </c>
      <c r="B6">
        <v>2335000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F5D2A-B361-4F3A-9498-9AF55F9E1ECD}">
  <dimension ref="A1:W37"/>
  <sheetViews>
    <sheetView tabSelected="1" workbookViewId="0">
      <selection activeCell="N1" sqref="N1:O5"/>
    </sheetView>
  </sheetViews>
  <sheetFormatPr defaultRowHeight="14.4" x14ac:dyDescent="0.3"/>
  <cols>
    <col min="1" max="1" width="12.109375" customWidth="1"/>
    <col min="2" max="2" width="16.44140625" style="6" customWidth="1"/>
    <col min="3" max="3" width="16" customWidth="1"/>
    <col min="4" max="4" width="21.6640625" customWidth="1"/>
    <col min="5" max="5" width="18.6640625" customWidth="1"/>
    <col min="6" max="6" width="13" customWidth="1"/>
    <col min="7" max="7" width="12.88671875" customWidth="1"/>
    <col min="8" max="8" width="14.21875" customWidth="1"/>
    <col min="9" max="9" width="16.109375" customWidth="1"/>
    <col min="10" max="10" width="19" customWidth="1"/>
    <col min="11" max="11" width="16.44140625" style="6" customWidth="1"/>
    <col min="12" max="12" width="17.109375" customWidth="1"/>
    <col min="13" max="13" width="15.33203125" customWidth="1"/>
    <col min="14" max="14" width="16.6640625" customWidth="1"/>
    <col min="15" max="15" width="15" customWidth="1"/>
    <col min="16" max="16" width="16.6640625" customWidth="1"/>
    <col min="17" max="17" width="18.6640625" customWidth="1"/>
    <col min="18" max="18" width="13.6640625" customWidth="1"/>
    <col min="19" max="19" width="15" customWidth="1"/>
    <col min="20" max="20" width="15.88671875" customWidth="1"/>
    <col min="21" max="21" width="20.109375" customWidth="1"/>
    <col min="22" max="22" width="21.88671875" customWidth="1"/>
    <col min="23" max="23" width="11.5546875" bestFit="1" customWidth="1"/>
  </cols>
  <sheetData>
    <row r="1" spans="1:23" x14ac:dyDescent="0.3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25</v>
      </c>
      <c r="K1" s="5" t="s">
        <v>26</v>
      </c>
      <c r="L1" s="1" t="s">
        <v>27</v>
      </c>
      <c r="M1" s="1" t="s">
        <v>28</v>
      </c>
      <c r="N1" s="1" t="s">
        <v>4</v>
      </c>
      <c r="O1" s="1" t="s">
        <v>30</v>
      </c>
      <c r="P1" s="1" t="s">
        <v>34</v>
      </c>
      <c r="Q1" s="1" t="s">
        <v>35</v>
      </c>
      <c r="R1" s="1" t="s">
        <v>2</v>
      </c>
      <c r="S1" s="1" t="s">
        <v>37</v>
      </c>
      <c r="T1" s="1" t="s">
        <v>39</v>
      </c>
      <c r="U1" s="1" t="s">
        <v>40</v>
      </c>
      <c r="V1" s="1" t="s">
        <v>43</v>
      </c>
      <c r="W1" s="1">
        <f>U2/U3</f>
        <v>129722.22222222222</v>
      </c>
    </row>
    <row r="2" spans="1:23" x14ac:dyDescent="0.3">
      <c r="A2" s="2">
        <v>1001</v>
      </c>
      <c r="B2" s="3">
        <v>46027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1</v>
      </c>
      <c r="H2" s="2">
        <v>800</v>
      </c>
      <c r="I2" s="2">
        <v>500</v>
      </c>
      <c r="J2">
        <f>G2*H2</f>
        <v>800</v>
      </c>
      <c r="K2" s="8">
        <f>J2-(I2*G2)</f>
        <v>300</v>
      </c>
      <c r="L2" t="s">
        <v>10</v>
      </c>
      <c r="M2">
        <f>SUMIF(D2:D19,"Electronics",J2:J19)</f>
        <v>1755400</v>
      </c>
      <c r="N2" t="s">
        <v>17</v>
      </c>
      <c r="O2">
        <f>SUMIF(E2:E19,"North",J2:J19)</f>
        <v>1053800</v>
      </c>
      <c r="P2" t="s">
        <v>12</v>
      </c>
      <c r="Q2">
        <f>SUMIF(F2:F19,"Ravi",J2:J19)</f>
        <v>479800</v>
      </c>
      <c r="R2" t="s">
        <v>9</v>
      </c>
      <c r="S2">
        <f>SUMIF(C2:C19,"Laptop",J2:J19)</f>
        <v>369800</v>
      </c>
      <c r="T2" t="s">
        <v>30</v>
      </c>
      <c r="U2">
        <f>SUM(J2:J19)</f>
        <v>2335000</v>
      </c>
    </row>
    <row r="3" spans="1:23" x14ac:dyDescent="0.3">
      <c r="A3" s="2">
        <v>1002</v>
      </c>
      <c r="B3" s="3">
        <v>46030</v>
      </c>
      <c r="C3" s="2" t="s">
        <v>13</v>
      </c>
      <c r="D3" s="2" t="s">
        <v>14</v>
      </c>
      <c r="E3" s="2" t="s">
        <v>11</v>
      </c>
      <c r="F3" s="2" t="s">
        <v>15</v>
      </c>
      <c r="G3" s="2">
        <v>1</v>
      </c>
      <c r="H3" s="2">
        <v>800</v>
      </c>
      <c r="I3" s="2">
        <v>500</v>
      </c>
      <c r="J3">
        <f t="shared" ref="J3:J19" si="0">G3*H3</f>
        <v>800</v>
      </c>
      <c r="K3" s="8">
        <f t="shared" ref="K3:K19" si="1">J3-(I3*G3)</f>
        <v>300</v>
      </c>
      <c r="L3" t="s">
        <v>29</v>
      </c>
      <c r="M3">
        <f>SUMIF(D2:D19,"Accessories",J2:J19)</f>
        <v>579600</v>
      </c>
      <c r="N3" t="s">
        <v>20</v>
      </c>
      <c r="O3">
        <f>SUMIF(E2:E19,"East",J2:J19)</f>
        <v>112600</v>
      </c>
      <c r="P3" t="s">
        <v>15</v>
      </c>
      <c r="Q3">
        <f>SUMIF(F2:F19,"Priya",J2:J19)</f>
        <v>613800</v>
      </c>
      <c r="R3" t="s">
        <v>19</v>
      </c>
      <c r="S3">
        <f>SUMIF(C2:C19,"Monitor",J2:J19)</f>
        <v>772600</v>
      </c>
      <c r="T3" t="s">
        <v>41</v>
      </c>
      <c r="U3">
        <f>COUNTA(A2:A19)</f>
        <v>18</v>
      </c>
    </row>
    <row r="4" spans="1:23" x14ac:dyDescent="0.3">
      <c r="A4" s="2">
        <v>1003</v>
      </c>
      <c r="B4" s="3">
        <v>46034</v>
      </c>
      <c r="C4" s="2" t="s">
        <v>16</v>
      </c>
      <c r="D4" s="2" t="s">
        <v>14</v>
      </c>
      <c r="E4" s="2" t="s">
        <v>17</v>
      </c>
      <c r="F4" s="2" t="s">
        <v>18</v>
      </c>
      <c r="G4" s="2">
        <v>1</v>
      </c>
      <c r="H4" s="2">
        <v>800</v>
      </c>
      <c r="I4" s="2">
        <v>500</v>
      </c>
      <c r="J4">
        <f t="shared" si="0"/>
        <v>800</v>
      </c>
      <c r="K4" s="8">
        <f t="shared" si="1"/>
        <v>300</v>
      </c>
      <c r="N4" t="s">
        <v>22</v>
      </c>
      <c r="O4">
        <f>SUMIF(E2:E19,"West",J2:J19)</f>
        <v>613000</v>
      </c>
      <c r="P4" t="s">
        <v>21</v>
      </c>
      <c r="Q4">
        <f>SUMIF(F2:F19,"Sneha",J2:J19)</f>
        <v>772600</v>
      </c>
      <c r="R4" t="s">
        <v>13</v>
      </c>
      <c r="S4">
        <f>SUMIF(C2:C19,"Mouse",J2:J19)</f>
        <v>479800</v>
      </c>
      <c r="T4" t="s">
        <v>42</v>
      </c>
      <c r="U4">
        <f>SUM(G2:G19)</f>
        <v>72</v>
      </c>
    </row>
    <row r="5" spans="1:23" x14ac:dyDescent="0.3">
      <c r="A5" s="2">
        <v>1004</v>
      </c>
      <c r="B5" s="3">
        <v>46040</v>
      </c>
      <c r="C5" s="2" t="s">
        <v>19</v>
      </c>
      <c r="D5" s="2" t="s">
        <v>10</v>
      </c>
      <c r="E5" s="2" t="s">
        <v>20</v>
      </c>
      <c r="F5" s="2" t="s">
        <v>21</v>
      </c>
      <c r="G5" s="2">
        <v>2</v>
      </c>
      <c r="H5" s="2">
        <v>800</v>
      </c>
      <c r="I5" s="2">
        <v>500</v>
      </c>
      <c r="J5">
        <f t="shared" si="0"/>
        <v>1600</v>
      </c>
      <c r="K5" s="8">
        <f t="shared" si="1"/>
        <v>600</v>
      </c>
      <c r="N5" t="s">
        <v>11</v>
      </c>
      <c r="O5">
        <f>SUMIF(E2:E19,"South",J2:J19)</f>
        <v>555600</v>
      </c>
      <c r="P5" t="s">
        <v>23</v>
      </c>
      <c r="Q5">
        <f>SUMIF(F2:F19,"Manoj",J2:J19)</f>
        <v>369000</v>
      </c>
      <c r="R5" t="s">
        <v>16</v>
      </c>
      <c r="S5">
        <f>SUMIF(C2:C19,"Keyboard",J2:J19)</f>
        <v>99800</v>
      </c>
    </row>
    <row r="6" spans="1:23" x14ac:dyDescent="0.3">
      <c r="A6" s="2">
        <v>1005</v>
      </c>
      <c r="B6" s="3">
        <v>46044</v>
      </c>
      <c r="C6" s="2" t="s">
        <v>9</v>
      </c>
      <c r="D6" s="2" t="s">
        <v>10</v>
      </c>
      <c r="E6" s="2" t="s">
        <v>22</v>
      </c>
      <c r="F6" s="2" t="s">
        <v>23</v>
      </c>
      <c r="G6" s="2">
        <v>2</v>
      </c>
      <c r="H6" s="4">
        <v>1500</v>
      </c>
      <c r="I6" s="2">
        <v>900</v>
      </c>
      <c r="J6">
        <f t="shared" si="0"/>
        <v>3000</v>
      </c>
      <c r="K6" s="8">
        <f t="shared" si="1"/>
        <v>1200</v>
      </c>
      <c r="M6" s="3"/>
      <c r="P6" t="s">
        <v>18</v>
      </c>
      <c r="Q6">
        <f>SUMIF(F2:F19,"Arjun",J2:J19)</f>
        <v>99800</v>
      </c>
      <c r="R6" t="s">
        <v>24</v>
      </c>
      <c r="S6">
        <f>SUMIF(C2:C19,"Printer",J2:J19)</f>
        <v>613000</v>
      </c>
    </row>
    <row r="7" spans="1:23" x14ac:dyDescent="0.3">
      <c r="A7" s="2">
        <v>1006</v>
      </c>
      <c r="B7" s="3">
        <v>46056</v>
      </c>
      <c r="C7" s="2" t="s">
        <v>13</v>
      </c>
      <c r="D7" s="2" t="s">
        <v>14</v>
      </c>
      <c r="E7" s="2" t="s">
        <v>17</v>
      </c>
      <c r="F7" s="2" t="s">
        <v>12</v>
      </c>
      <c r="G7" s="2">
        <v>2</v>
      </c>
      <c r="H7" s="4">
        <v>1500</v>
      </c>
      <c r="I7" s="2">
        <v>900</v>
      </c>
      <c r="J7">
        <f t="shared" si="0"/>
        <v>3000</v>
      </c>
      <c r="K7" s="8">
        <f t="shared" si="1"/>
        <v>1200</v>
      </c>
      <c r="Q7" s="1"/>
      <c r="R7" s="1"/>
    </row>
    <row r="8" spans="1:23" x14ac:dyDescent="0.3">
      <c r="A8" s="2">
        <v>1007</v>
      </c>
      <c r="B8" s="3">
        <v>46060</v>
      </c>
      <c r="C8" s="2" t="s">
        <v>24</v>
      </c>
      <c r="D8" s="2" t="s">
        <v>10</v>
      </c>
      <c r="E8" s="2" t="s">
        <v>11</v>
      </c>
      <c r="F8" s="2" t="s">
        <v>15</v>
      </c>
      <c r="G8" s="2">
        <v>2</v>
      </c>
      <c r="H8" s="4">
        <v>1500</v>
      </c>
      <c r="I8" s="2">
        <v>900</v>
      </c>
      <c r="J8">
        <f t="shared" si="0"/>
        <v>3000</v>
      </c>
      <c r="K8" s="8">
        <f t="shared" si="1"/>
        <v>1200</v>
      </c>
    </row>
    <row r="9" spans="1:23" x14ac:dyDescent="0.3">
      <c r="A9" s="2">
        <v>1008</v>
      </c>
      <c r="B9" s="3">
        <v>46067</v>
      </c>
      <c r="C9" s="2" t="s">
        <v>16</v>
      </c>
      <c r="D9" s="2" t="s">
        <v>14</v>
      </c>
      <c r="E9" s="2" t="s">
        <v>22</v>
      </c>
      <c r="F9" s="2" t="s">
        <v>18</v>
      </c>
      <c r="G9" s="2">
        <v>2</v>
      </c>
      <c r="H9" s="4">
        <v>12000</v>
      </c>
      <c r="I9" s="4">
        <v>9000</v>
      </c>
      <c r="J9">
        <f t="shared" si="0"/>
        <v>24000</v>
      </c>
      <c r="K9" s="8">
        <f t="shared" si="1"/>
        <v>6000</v>
      </c>
    </row>
    <row r="10" spans="1:23" x14ac:dyDescent="0.3">
      <c r="A10" s="2">
        <v>1009</v>
      </c>
      <c r="B10" s="3">
        <v>46073</v>
      </c>
      <c r="C10" s="2" t="s">
        <v>19</v>
      </c>
      <c r="D10" s="2" t="s">
        <v>10</v>
      </c>
      <c r="E10" s="2" t="s">
        <v>11</v>
      </c>
      <c r="F10" s="2" t="s">
        <v>21</v>
      </c>
      <c r="G10" s="2">
        <v>3</v>
      </c>
      <c r="H10" s="4">
        <v>12000</v>
      </c>
      <c r="I10" s="4">
        <v>9000</v>
      </c>
      <c r="J10">
        <f t="shared" si="0"/>
        <v>36000</v>
      </c>
      <c r="K10" s="8">
        <f t="shared" si="1"/>
        <v>9000</v>
      </c>
    </row>
    <row r="11" spans="1:23" x14ac:dyDescent="0.3">
      <c r="A11" s="2">
        <v>1010</v>
      </c>
      <c r="B11" s="3">
        <v>46078</v>
      </c>
      <c r="C11" s="2" t="s">
        <v>9</v>
      </c>
      <c r="D11" s="2" t="s">
        <v>10</v>
      </c>
      <c r="E11" s="2" t="s">
        <v>20</v>
      </c>
      <c r="F11" s="2" t="s">
        <v>23</v>
      </c>
      <c r="G11" s="2">
        <v>3</v>
      </c>
      <c r="H11" s="4">
        <v>12000</v>
      </c>
      <c r="I11" s="4">
        <v>9000</v>
      </c>
      <c r="J11">
        <f t="shared" si="0"/>
        <v>36000</v>
      </c>
      <c r="K11" s="8">
        <f t="shared" si="1"/>
        <v>9000</v>
      </c>
    </row>
    <row r="12" spans="1:23" x14ac:dyDescent="0.3">
      <c r="A12" s="2">
        <v>1011</v>
      </c>
      <c r="B12" s="3">
        <v>46083</v>
      </c>
      <c r="C12" s="2" t="s">
        <v>13</v>
      </c>
      <c r="D12" s="2" t="s">
        <v>14</v>
      </c>
      <c r="E12" s="2" t="s">
        <v>22</v>
      </c>
      <c r="F12" s="2" t="s">
        <v>12</v>
      </c>
      <c r="G12" s="2">
        <v>3</v>
      </c>
      <c r="H12" s="4">
        <v>12000</v>
      </c>
      <c r="I12" s="4">
        <v>9000</v>
      </c>
      <c r="J12">
        <f t="shared" si="0"/>
        <v>36000</v>
      </c>
      <c r="K12" s="8">
        <f t="shared" si="1"/>
        <v>9000</v>
      </c>
    </row>
    <row r="13" spans="1:23" x14ac:dyDescent="0.3">
      <c r="A13" s="2">
        <v>1012</v>
      </c>
      <c r="B13" s="3">
        <v>46090</v>
      </c>
      <c r="C13" s="2" t="s">
        <v>24</v>
      </c>
      <c r="D13" s="2" t="s">
        <v>10</v>
      </c>
      <c r="E13" s="2" t="s">
        <v>17</v>
      </c>
      <c r="F13" s="2" t="s">
        <v>15</v>
      </c>
      <c r="G13" s="2">
        <v>4</v>
      </c>
      <c r="H13" s="4">
        <v>15000</v>
      </c>
      <c r="I13" s="4">
        <v>11000</v>
      </c>
      <c r="J13">
        <f t="shared" si="0"/>
        <v>60000</v>
      </c>
      <c r="K13" s="8">
        <f t="shared" si="1"/>
        <v>16000</v>
      </c>
    </row>
    <row r="14" spans="1:23" x14ac:dyDescent="0.3">
      <c r="A14" s="2">
        <v>1013</v>
      </c>
      <c r="B14" s="3">
        <v>46096</v>
      </c>
      <c r="C14" s="2" t="s">
        <v>19</v>
      </c>
      <c r="D14" s="2" t="s">
        <v>10</v>
      </c>
      <c r="E14" s="2" t="s">
        <v>20</v>
      </c>
      <c r="F14" s="2" t="s">
        <v>18</v>
      </c>
      <c r="G14" s="2">
        <v>5</v>
      </c>
      <c r="H14" s="4">
        <v>15000</v>
      </c>
      <c r="I14" s="4">
        <v>11000</v>
      </c>
      <c r="J14">
        <f t="shared" si="0"/>
        <v>75000</v>
      </c>
      <c r="K14" s="8">
        <f t="shared" si="1"/>
        <v>20000</v>
      </c>
    </row>
    <row r="15" spans="1:23" x14ac:dyDescent="0.3">
      <c r="A15" s="2">
        <v>1014</v>
      </c>
      <c r="B15" s="3">
        <v>46100</v>
      </c>
      <c r="C15" s="2" t="s">
        <v>16</v>
      </c>
      <c r="D15" s="2" t="s">
        <v>14</v>
      </c>
      <c r="E15" s="2" t="s">
        <v>11</v>
      </c>
      <c r="F15" s="2" t="s">
        <v>21</v>
      </c>
      <c r="G15" s="2">
        <v>5</v>
      </c>
      <c r="H15" s="4">
        <v>15000</v>
      </c>
      <c r="I15" s="4">
        <v>11000</v>
      </c>
      <c r="J15">
        <f t="shared" si="0"/>
        <v>75000</v>
      </c>
      <c r="K15" s="8">
        <f t="shared" si="1"/>
        <v>20000</v>
      </c>
    </row>
    <row r="16" spans="1:23" x14ac:dyDescent="0.3">
      <c r="A16" s="2">
        <v>1015</v>
      </c>
      <c r="B16" s="3">
        <v>46105</v>
      </c>
      <c r="C16" s="2" t="s">
        <v>9</v>
      </c>
      <c r="D16" s="2" t="s">
        <v>10</v>
      </c>
      <c r="E16" s="2" t="s">
        <v>17</v>
      </c>
      <c r="F16" s="2" t="s">
        <v>23</v>
      </c>
      <c r="G16" s="2">
        <v>6</v>
      </c>
      <c r="H16" s="4">
        <v>55000</v>
      </c>
      <c r="I16" s="4">
        <v>45000</v>
      </c>
      <c r="J16">
        <f t="shared" si="0"/>
        <v>330000</v>
      </c>
      <c r="K16" s="8">
        <f t="shared" si="1"/>
        <v>60000</v>
      </c>
    </row>
    <row r="17" spans="1:11" x14ac:dyDescent="0.3">
      <c r="A17" s="2">
        <v>1016</v>
      </c>
      <c r="B17" s="3">
        <v>46116</v>
      </c>
      <c r="C17" s="2" t="s">
        <v>13</v>
      </c>
      <c r="D17" s="2" t="s">
        <v>14</v>
      </c>
      <c r="E17" s="2" t="s">
        <v>11</v>
      </c>
      <c r="F17" s="2" t="s">
        <v>12</v>
      </c>
      <c r="G17" s="2">
        <v>8</v>
      </c>
      <c r="H17" s="4">
        <v>55000</v>
      </c>
      <c r="I17" s="4">
        <v>45000</v>
      </c>
      <c r="J17">
        <f t="shared" si="0"/>
        <v>440000</v>
      </c>
      <c r="K17" s="8">
        <f t="shared" si="1"/>
        <v>80000</v>
      </c>
    </row>
    <row r="18" spans="1:11" x14ac:dyDescent="0.3">
      <c r="A18" s="2">
        <v>1017</v>
      </c>
      <c r="B18" s="3">
        <v>46123</v>
      </c>
      <c r="C18" s="2" t="s">
        <v>24</v>
      </c>
      <c r="D18" s="2" t="s">
        <v>10</v>
      </c>
      <c r="E18" s="2" t="s">
        <v>22</v>
      </c>
      <c r="F18" s="2" t="s">
        <v>15</v>
      </c>
      <c r="G18" s="2">
        <v>10</v>
      </c>
      <c r="H18" s="4">
        <v>55000</v>
      </c>
      <c r="I18" s="4">
        <v>45000</v>
      </c>
      <c r="J18">
        <f t="shared" si="0"/>
        <v>550000</v>
      </c>
      <c r="K18" s="8">
        <f t="shared" si="1"/>
        <v>100000</v>
      </c>
    </row>
    <row r="19" spans="1:11" x14ac:dyDescent="0.3">
      <c r="A19" s="2">
        <v>1018</v>
      </c>
      <c r="B19" s="3">
        <v>46130</v>
      </c>
      <c r="C19" s="2" t="s">
        <v>19</v>
      </c>
      <c r="D19" s="2" t="s">
        <v>10</v>
      </c>
      <c r="E19" s="2" t="s">
        <v>17</v>
      </c>
      <c r="F19" s="2" t="s">
        <v>21</v>
      </c>
      <c r="G19" s="2">
        <v>12</v>
      </c>
      <c r="H19" s="4">
        <v>55000</v>
      </c>
      <c r="I19" s="7">
        <v>45000</v>
      </c>
      <c r="J19">
        <f t="shared" si="0"/>
        <v>660000</v>
      </c>
      <c r="K19" s="8">
        <f t="shared" si="1"/>
        <v>120000</v>
      </c>
    </row>
    <row r="20" spans="1:11" x14ac:dyDescent="0.3">
      <c r="G20">
        <f>SUM(G2:G19)</f>
        <v>72</v>
      </c>
      <c r="H20" s="2"/>
      <c r="I20" s="2"/>
      <c r="J20">
        <f>SUM(J2:J19)</f>
        <v>2335000</v>
      </c>
      <c r="K20">
        <f>SUM(K2:K19)</f>
        <v>454100</v>
      </c>
    </row>
    <row r="21" spans="1:11" x14ac:dyDescent="0.3">
      <c r="H21" s="2"/>
      <c r="I21" s="2"/>
      <c r="J21">
        <f>AVERAGE(J2:J19)</f>
        <v>129722.22222222222</v>
      </c>
      <c r="K21">
        <f>MAX(K2:K19)</f>
        <v>120000</v>
      </c>
    </row>
    <row r="22" spans="1:11" x14ac:dyDescent="0.3">
      <c r="H22" s="2"/>
      <c r="I22" s="2"/>
      <c r="J22">
        <f>MAX(J2:J19)</f>
        <v>660000</v>
      </c>
      <c r="K22">
        <f>MIN(K2:K19)</f>
        <v>300</v>
      </c>
    </row>
    <row r="23" spans="1:11" x14ac:dyDescent="0.3">
      <c r="H23" s="2"/>
      <c r="I23" s="2"/>
      <c r="J23">
        <f>MIN(J2:J19)</f>
        <v>800</v>
      </c>
      <c r="K23">
        <f>(K20/J20)*100</f>
        <v>19.447537473233407</v>
      </c>
    </row>
    <row r="24" spans="1:11" x14ac:dyDescent="0.3">
      <c r="H24" s="2"/>
      <c r="I24" s="4"/>
    </row>
    <row r="25" spans="1:11" x14ac:dyDescent="0.3">
      <c r="H25" s="2"/>
      <c r="I25" s="4"/>
    </row>
    <row r="26" spans="1:11" x14ac:dyDescent="0.3">
      <c r="H26" s="2"/>
      <c r="I26" s="4"/>
    </row>
    <row r="27" spans="1:11" x14ac:dyDescent="0.3">
      <c r="H27" s="2"/>
      <c r="I27" s="4"/>
    </row>
    <row r="28" spans="1:11" x14ac:dyDescent="0.3">
      <c r="H28" s="2"/>
      <c r="I28" s="4"/>
    </row>
    <row r="29" spans="1:11" x14ac:dyDescent="0.3">
      <c r="H29" s="2"/>
      <c r="I29" s="4"/>
    </row>
    <row r="30" spans="1:11" x14ac:dyDescent="0.3">
      <c r="H30" s="2"/>
      <c r="I30" s="4"/>
    </row>
    <row r="31" spans="1:11" x14ac:dyDescent="0.3">
      <c r="H31" s="2"/>
      <c r="I31" s="4"/>
    </row>
    <row r="32" spans="1:11" x14ac:dyDescent="0.3">
      <c r="H32" s="2"/>
      <c r="I32" s="4"/>
    </row>
    <row r="33" spans="8:9" x14ac:dyDescent="0.3">
      <c r="H33" s="2"/>
      <c r="I33" s="4"/>
    </row>
    <row r="34" spans="8:9" x14ac:dyDescent="0.3">
      <c r="H34" s="2"/>
      <c r="I34" s="4"/>
    </row>
    <row r="35" spans="8:9" x14ac:dyDescent="0.3">
      <c r="H35" s="2"/>
      <c r="I35" s="4"/>
    </row>
    <row r="36" spans="8:9" x14ac:dyDescent="0.3">
      <c r="H36" s="2"/>
      <c r="I36" s="4"/>
    </row>
    <row r="37" spans="8:9" x14ac:dyDescent="0.3">
      <c r="H37" s="2"/>
      <c r="I37" s="4"/>
    </row>
  </sheetData>
  <sortState xmlns:xlrd2="http://schemas.microsoft.com/office/spreadsheetml/2017/richdata2" ref="I2:I19">
    <sortCondition ref="I1:I19"/>
  </sortState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5ED2C-4462-457E-B330-65415A360A30}">
  <dimension ref="A1:G1"/>
  <sheetViews>
    <sheetView topLeftCell="B1" workbookViewId="0">
      <selection activeCell="E10" sqref="E10"/>
    </sheetView>
  </sheetViews>
  <sheetFormatPr defaultRowHeight="14.4" x14ac:dyDescent="0.3"/>
  <cols>
    <col min="1" max="1" width="24.6640625" customWidth="1"/>
    <col min="7" max="7" width="45.6640625" customWidth="1"/>
  </cols>
  <sheetData>
    <row r="1" spans="1:7" x14ac:dyDescent="0.3">
      <c r="A1" s="11"/>
      <c r="G1" s="11" t="s">
        <v>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Sheet2</vt:lpstr>
      <vt:lpstr>Sheet4</vt:lpstr>
      <vt:lpstr>Sheet3</vt:lpstr>
      <vt:lpstr>Sheet5</vt:lpstr>
      <vt:lpstr>Sheet6</vt:lpstr>
      <vt:lpstr>Sheet1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goginenihavisha@gmail.com</dc:creator>
  <cp:lastModifiedBy>goginenihavisha@gmail.com</cp:lastModifiedBy>
  <dcterms:created xsi:type="dcterms:W3CDTF">2026-09-21T15:37:59Z</dcterms:created>
  <dcterms:modified xsi:type="dcterms:W3CDTF">2026-09-23T16:28:12Z</dcterms:modified>
</cp:coreProperties>
</file>